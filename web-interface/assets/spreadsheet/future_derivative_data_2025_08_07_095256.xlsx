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ture Derivatives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<sst xmlns="http://schemas.openxmlformats.org/spreadsheetml/2006/main" uniqueCount="57">
  <si>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Stock</t>
  </si>
  <si>
    <t>Aug-2025</t>
  </si>
  <si>
    <t>Sep-2025</t>
  </si>
  <si>
    <t>Oct-2025</t>
  </si>
  <si>
    <t>Sep-Aug % Spread</t>
  </si>
  <si>
    <t>Oct-Sep % Spread</t>
  </si>
  <si>
    <t>Signal</t>
  </si>
  <si>
    <t>ADANIENT</t>
  </si>
  <si>
    <t>ADANIPORTS</t>
  </si>
  <si>
    <t>ASIANPAINT</t>
  </si>
  <si>
    <t>AXISBANK</t>
  </si>
  <si>
    <t>BAJAJ-AUTO</t>
  </si>
  <si>
    <t>BAJFINANCE</t>
  </si>
  <si>
    <t>BAJAJFINSV</t>
  </si>
  <si>
    <t>BPCL</t>
  </si>
  <si>
    <t>BHARTIARTL</t>
  </si>
  <si>
    <t>BRITANNIA</t>
  </si>
  <si>
    <t>CIPLA</t>
  </si>
  <si>
    <t>COALINDIA</t>
  </si>
  <si>
    <t>DIVISLAB</t>
  </si>
  <si>
    <t>DRREDDY</t>
  </si>
  <si>
    <t>EICHERMOT</t>
  </si>
  <si>
    <t>GRASIM</t>
  </si>
  <si>
    <t>HCLTECH</t>
  </si>
  <si>
    <t>HDFCBANK</t>
  </si>
  <si>
    <t>HDFCLIFE</t>
  </si>
  <si>
    <t>HEROMOTOCO</t>
  </si>
  <si>
    <t>HINDALCO</t>
  </si>
  <si>
    <t>HINDUNILVR</t>
  </si>
  <si>
    <t>ICICIBANK</t>
  </si>
  <si>
    <t>ITC</t>
  </si>
  <si>
    <t>INDUSINDBK</t>
  </si>
  <si>
    <t>INFY</t>
  </si>
  <si>
    <t>JSWSTEEL</t>
  </si>
  <si>
    <t>KOTAKBANK</t>
  </si>
  <si>
    <t>LT</t>
  </si>
  <si>
    <t>M&amp;M</t>
  </si>
  <si>
    <t>MARUTI</t>
  </si>
  <si>
    <t>NTPC</t>
  </si>
  <si>
    <t>NESTLEIND</t>
  </si>
  <si>
    <t>ONGC</t>
  </si>
  <si>
    <t>POWERGRID</t>
  </si>
  <si>
    <t>RELIANCE</t>
  </si>
  <si>
    <t>SBILIFE</t>
  </si>
  <si>
    <t>SBIN</t>
  </si>
  <si>
    <t>SUNPHARMA</t>
  </si>
  <si>
    <t>TCS</t>
  </si>
  <si>
    <t>TATACONSUM</t>
  </si>
  <si>
    <t>TATAMOTORS</t>
  </si>
  <si>
    <t>TATASTEEL</t>
  </si>
  <si>
    <t>TECHM</t>
  </si>
  <si>
    <t>TITAN</t>
  </si>
  <si>
    <t>UPL</t>
  </si>
  <si>
    <t>ULTRACEMCO</t>
  </si>
  <si>
    <t>WIPRO</t>
  </si>
  <si>
    <t>LTIM</t>
  </si>
  <si>
    <t>HINDPETRO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</si>
</sst>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24.708" bestFit="true" customWidth="true" style="0"/>
    <col min="3" max="3" width="24.708" bestFit="true" customWidth="true" style="0"/>
    <col min="4" max="4" width="23.423" bestFit="true" customWidth="true" style="0"/>
    <col min="5" max="5" width="23.423" bestFit="true" customWidth="true" style="0"/>
    <col min="6" max="6" width="22.28" bestFit="true" customWidth="true" style="0"/>
    <col min="7" max="7" width="13.997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2262.59999999999991</v>
      </c>
      <c r="C2">
        <v>2274.5</v>
      </c>
      <c r="D2">
        <v>2285.59999999999991</v>
      </c>
      <c r="E2">
        <f>IF(B2&lt;&gt;"",((C2-B2)/B2)*100,"")</f>
        <v>0.52594360470256</v>
      </c>
      <c r="F2">
        <f>IF(C2&lt;&gt;"",((D2-C2)/C2)*100,"")</f>
        <v>0.48801934491097</v>
      </c>
      <c r="G2" t="str">
        <f>IF(OR(E2&gt;1,F2&gt;1),"✅ Opportunity",IF(OR(E2&gt;0.5,F2&gt;0.5),"⚠️ Moderate","No Signal"))</f>
        <v>⚠️ Moderate</v>
      </c>
    </row>
    <row r="3" spans="1:7">
      <c r="A3" t="s">
        <v>8</v>
      </c>
      <c r="B3">
        <v>1353.59999999999991</v>
      </c>
      <c r="C3">
        <v>1360.79999999999995</v>
      </c>
      <c r="D3">
        <v>1367.40000000000009</v>
      </c>
      <c r="E3">
        <f>IF(B3&lt;&gt;"",((C3-B3)/B3)*100,"")</f>
        <v>0.53191489361702</v>
      </c>
      <c r="F3">
        <f>IF(C3&lt;&gt;"",((D3-C3)/C3)*100,"")</f>
        <v>0.48500881834216</v>
      </c>
      <c r="G3" t="str">
        <f>IF(OR(E3&gt;1,F3&gt;1),"✅ Opportunity",IF(OR(E3&gt;0.5,F3&gt;0.5),"⚠️ Moderate","No Signal"))</f>
        <v>⚠️ Moderate</v>
      </c>
    </row>
    <row r="4" spans="1:7">
      <c r="A4" t="s">
        <v>9</v>
      </c>
      <c r="B4">
        <v>2513.59999999999991</v>
      </c>
      <c r="C4">
        <v>2526</v>
      </c>
      <c r="D4">
        <v>2533.80000000000018</v>
      </c>
      <c r="E4">
        <f>IF(B4&lt;&gt;"",((C4-B4)/B4)*100,"")</f>
        <v>0.49331635900701</v>
      </c>
      <c r="F4">
        <f>IF(C4&lt;&gt;"",((D4-C4)/C4)*100,"")</f>
        <v>0.30878859857483</v>
      </c>
      <c r="G4" t="str">
        <f>IF(OR(E4&gt;1,F4&gt;1),"✅ Opportunity",IF(OR(E4&gt;0.5,F4&gt;0.5),"⚠️ Moderate","No Signal"))</f>
        <v>No Signal</v>
      </c>
    </row>
    <row r="5" spans="1:7">
      <c r="A5" t="s">
        <v>10</v>
      </c>
      <c r="B5">
        <v>1081.90000000000009</v>
      </c>
      <c r="C5">
        <v>1086.79999999999995</v>
      </c>
      <c r="D5">
        <v>1092</v>
      </c>
      <c r="E5">
        <f>IF(B5&lt;&gt;"",((C5-B5)/B5)*100,"")</f>
        <v>0.45290692300581</v>
      </c>
      <c r="F5">
        <f>IF(C5&lt;&gt;"",((D5-C5)/C5)*100,"")</f>
        <v>0.47846889952154</v>
      </c>
      <c r="G5" t="str">
        <f>IF(OR(E5&gt;1,F5&gt;1),"✅ Opportunity",IF(OR(E5&gt;0.5,F5&gt;0.5),"⚠️ Moderate","No Signal"))</f>
        <v>No Signal</v>
      </c>
    </row>
    <row r="6" spans="1:7">
      <c r="A6" t="s">
        <v>11</v>
      </c>
      <c r="B6">
        <v>8260</v>
      </c>
      <c r="C6">
        <v>8292</v>
      </c>
      <c r="D6">
        <v>8296</v>
      </c>
      <c r="E6">
        <f>IF(B6&lt;&gt;"",((C6-B6)/B6)*100,"")</f>
        <v>0.38740920096852</v>
      </c>
      <c r="F6">
        <f>IF(C6&lt;&gt;"",((D6-C6)/C6)*100,"")</f>
        <v>0.048239266763145</v>
      </c>
      <c r="G6" t="str">
        <f>IF(OR(E6&gt;1,F6&gt;1),"✅ Opportunity",IF(OR(E6&gt;0.5,F6&gt;0.5),"⚠️ Moderate","No Signal"))</f>
        <v>No Signal</v>
      </c>
    </row>
    <row r="7" spans="1:7">
      <c r="A7" t="s">
        <v>12</v>
      </c>
      <c r="B7">
        <v>883.5</v>
      </c>
      <c r="C7">
        <v>888.60000000000002</v>
      </c>
      <c r="D7">
        <v>891.95000000000005</v>
      </c>
      <c r="E7">
        <f>IF(B7&lt;&gt;"",((C7-B7)/B7)*100,"")</f>
        <v>0.57724957555179</v>
      </c>
      <c r="F7">
        <f>IF(C7&lt;&gt;"",((D7-C7)/C7)*100,"")</f>
        <v>0.37699752419537</v>
      </c>
      <c r="G7" t="str">
        <f>IF(OR(E7&gt;1,F7&gt;1),"✅ Opportunity",IF(OR(E7&gt;0.5,F7&gt;0.5),"⚠️ Moderate","No Signal"))</f>
        <v>⚠️ Moderate</v>
      </c>
    </row>
    <row r="8" spans="1:7">
      <c r="A8" t="s">
        <v>13</v>
      </c>
      <c r="B8">
        <v>1925.90000000000009</v>
      </c>
      <c r="C8">
        <v>1935.20000000000005</v>
      </c>
      <c r="D8">
        <v>1944.70000000000005</v>
      </c>
      <c r="E8">
        <f>IF(B8&lt;&gt;"",((C8-B8)/B8)*100,"")</f>
        <v>0.48289111584194</v>
      </c>
      <c r="F8">
        <f>IF(C8&lt;&gt;"",((D8-C8)/C8)*100,"")</f>
        <v>0.49090533278214</v>
      </c>
      <c r="G8" t="str">
        <f>IF(OR(E8&gt;1,F8&gt;1),"✅ Opportunity",IF(OR(E8&gt;0.5,F8&gt;0.5),"⚠️ Moderate","No Signal"))</f>
        <v>No Signal</v>
      </c>
    </row>
    <row r="9" spans="1:7">
      <c r="A9" t="s">
        <v>14</v>
      </c>
      <c r="B9">
        <v>311.94999999999999</v>
      </c>
      <c r="C9">
        <v>313.14999999999998</v>
      </c>
      <c r="D9">
        <v>313.89999999999998</v>
      </c>
      <c r="E9">
        <f>IF(B9&lt;&gt;"",((C9-B9)/B9)*100,"")</f>
        <v>0.38467703157557</v>
      </c>
      <c r="F9">
        <f>IF(C9&lt;&gt;"",((D9-C9)/C9)*100,"")</f>
        <v>0.23950183618074</v>
      </c>
      <c r="G9" t="str">
        <f>IF(OR(E9&gt;1,F9&gt;1),"✅ Opportunity",IF(OR(E9&gt;0.5,F9&gt;0.5),"⚠️ Moderate","No Signal"))</f>
        <v>No Signal</v>
      </c>
    </row>
    <row r="10" spans="1:7">
      <c r="A10" t="s">
        <v>15</v>
      </c>
      <c r="B10">
        <v>1933</v>
      </c>
      <c r="C10">
        <v>1943.099999999999909</v>
      </c>
      <c r="D10">
        <v>1951.40000000000009</v>
      </c>
      <c r="E10">
        <f>IF(B10&lt;&gt;"",((C10-B10)/B10)*100,"")</f>
        <v>0.5225038799793</v>
      </c>
      <c r="F10">
        <f>IF(C10&lt;&gt;"",((D10-C10)/C10)*100,"")</f>
        <v>0.42715248829191</v>
      </c>
      <c r="G10" t="str">
        <f>IF(OR(E10&gt;1,F10&gt;1),"✅ Opportunity",IF(OR(E10&gt;0.5,F10&gt;0.5),"⚠️ Moderate","No Signal"))</f>
        <v>⚠️ Moderate</v>
      </c>
    </row>
    <row r="11" spans="1:7">
      <c r="A11" t="s">
        <v>16</v>
      </c>
      <c r="B11">
        <v>5499.5</v>
      </c>
      <c r="C11">
        <v>5550.5</v>
      </c>
      <c r="D11">
        <v>5540</v>
      </c>
      <c r="E11">
        <f>IF(B11&lt;&gt;"",((C11-B11)/B11)*100,"")</f>
        <v>0.9273570324575</v>
      </c>
      <c r="F11">
        <f>IF(C11&lt;&gt;"",((D11-C11)/C11)*100,"")</f>
        <v>-0.18917214665345</v>
      </c>
      <c r="G11" t="str">
        <f>IF(OR(E11&gt;1,F11&gt;1),"✅ Opportunity",IF(OR(E11&gt;0.5,F11&gt;0.5),"⚠️ Moderate","No Signal"))</f>
        <v>⚠️ Moderate</v>
      </c>
    </row>
    <row r="12" spans="1:7">
      <c r="A12" t="s">
        <v>17</v>
      </c>
      <c r="B12">
        <v>1496</v>
      </c>
      <c r="C12">
        <v>1502.40000000000009</v>
      </c>
      <c r="D12">
        <v>1509.90000000000009</v>
      </c>
      <c r="E12">
        <f>IF(B12&lt;&gt;"",((C12-B12)/B12)*100,"")</f>
        <v>0.42780748663102</v>
      </c>
      <c r="F12">
        <f>IF(C12&lt;&gt;"",((D12-C12)/C12)*100,"")</f>
        <v>0.49920127795527</v>
      </c>
      <c r="G12" t="str">
        <f>IF(OR(E12&gt;1,F12&gt;1),"✅ Opportunity",IF(OR(E12&gt;0.5,F12&gt;0.5),"⚠️ Moderate","No Signal"))</f>
        <v>No Signal</v>
      </c>
    </row>
    <row r="13" spans="1:7">
      <c r="A13" t="s">
        <v>18</v>
      </c>
      <c r="B13">
        <v>375.39999999999998</v>
      </c>
      <c r="C13">
        <v>377.35000000000002</v>
      </c>
      <c r="D13">
        <v>379</v>
      </c>
      <c r="E13">
        <f>IF(B13&lt;&gt;"",((C13-B13)/B13)*100,"")</f>
        <v>0.51944592434737</v>
      </c>
      <c r="F13">
        <f>IF(C13&lt;&gt;"",((D13-C13)/C13)*100,"")</f>
        <v>0.43725983834636</v>
      </c>
      <c r="G13" t="str">
        <f>IF(OR(E13&gt;1,F13&gt;1),"✅ Opportunity",IF(OR(E13&gt;0.5,F13&gt;0.5),"⚠️ Moderate","No Signal"))</f>
        <v>⚠️ Moderate</v>
      </c>
    </row>
    <row r="14" spans="1:7">
      <c r="A14" t="s">
        <v>19</v>
      </c>
      <c r="B14">
        <v>6152</v>
      </c>
      <c r="C14">
        <v>6185</v>
      </c>
      <c r="D14">
        <v>6205</v>
      </c>
      <c r="E14">
        <f>IF(B14&lt;&gt;"",((C14-B14)/B14)*100,"")</f>
        <v>0.53641092327698</v>
      </c>
      <c r="F14">
        <f>IF(C14&lt;&gt;"",((D14-C14)/C14)*100,"")</f>
        <v>0.32336297493937</v>
      </c>
      <c r="G14" t="str">
        <f>IF(OR(E14&gt;1,F14&gt;1),"✅ Opportunity",IF(OR(E14&gt;0.5,F14&gt;0.5),"⚠️ Moderate","No Signal"))</f>
        <v>⚠️ Moderate</v>
      </c>
    </row>
    <row r="15" spans="1:7">
      <c r="A15" t="s">
        <v>20</v>
      </c>
      <c r="B15">
        <v>1202.20000000000005</v>
      </c>
      <c r="C15">
        <v>1205.59999999999991</v>
      </c>
      <c r="D15">
        <v>1207.70000000000005</v>
      </c>
      <c r="E15">
        <f>IF(B15&lt;&gt;"",((C15-B15)/B15)*100,"")</f>
        <v>0.28281483946098</v>
      </c>
      <c r="F15">
        <f>IF(C15&lt;&gt;"",((D15-C15)/C15)*100,"")</f>
        <v>0.17418712674188</v>
      </c>
      <c r="G15" t="str">
        <f>IF(OR(E15&gt;1,F15&gt;1),"✅ Opportunity",IF(OR(E15&gt;0.5,F15&gt;0.5),"⚠️ Moderate","No Signal"))</f>
        <v>No Signal</v>
      </c>
    </row>
    <row r="16" spans="1:7">
      <c r="A16" t="s">
        <v>21</v>
      </c>
      <c r="B16">
        <v>5708.5</v>
      </c>
      <c r="C16">
        <v>5739</v>
      </c>
      <c r="D16">
        <v>5766.5</v>
      </c>
      <c r="E16">
        <f>IF(B16&lt;&gt;"",((C16-B16)/B16)*100,"")</f>
        <v>0.53429096960673</v>
      </c>
      <c r="F16">
        <f>IF(C16&lt;&gt;"",((D16-C16)/C16)*100,"")</f>
        <v>0.47917755706569</v>
      </c>
      <c r="G16" t="str">
        <f>IF(OR(E16&gt;1,F16&gt;1),"✅ Opportunity",IF(OR(E16&gt;0.5,F16&gt;0.5),"⚠️ Moderate","No Signal"))</f>
        <v>⚠️ Moderate</v>
      </c>
    </row>
    <row r="17" spans="1:7">
      <c r="A17" t="s">
        <v>22</v>
      </c>
      <c r="B17">
        <v>2749.30000000000018</v>
      </c>
      <c r="C17">
        <v>2764.099999999999909</v>
      </c>
      <c r="D17">
        <v>2761.80000000000018</v>
      </c>
      <c r="E17">
        <f>IF(B17&lt;&gt;"",((C17-B17)/B17)*100,"")</f>
        <v>0.53831884479685</v>
      </c>
      <c r="F17">
        <f>IF(C17&lt;&gt;"",((D17-C17)/C17)*100,"")</f>
        <v>-0.083209724684336</v>
      </c>
      <c r="G17" t="str">
        <f>IF(OR(E17&gt;1,F17&gt;1),"✅ Opportunity",IF(OR(E17&gt;0.5,F17&gt;0.5),"⚠️ Moderate","No Signal"))</f>
        <v>⚠️ Moderate</v>
      </c>
    </row>
    <row r="18" spans="1:7">
      <c r="A18" t="s">
        <v>23</v>
      </c>
      <c r="B18">
        <v>1482.29999999999995</v>
      </c>
      <c r="C18">
        <v>1489.29999999999995</v>
      </c>
      <c r="D18">
        <v>1487.5</v>
      </c>
      <c r="E18">
        <f>IF(B18&lt;&gt;"",((C18-B18)/B18)*100,"")</f>
        <v>0.47223908790393</v>
      </c>
      <c r="F18">
        <f>IF(C18&lt;&gt;"",((D18-C18)/C18)*100,"")</f>
        <v>-0.12086215000335</v>
      </c>
      <c r="G18" t="str">
        <f>IF(OR(E18&gt;1,F18&gt;1),"✅ Opportunity",IF(OR(E18&gt;0.5,F18&gt;0.5),"⚠️ Moderate","No Signal"))</f>
        <v>No Signal</v>
      </c>
    </row>
    <row r="19" spans="1:7">
      <c r="A19" t="s">
        <v>24</v>
      </c>
      <c r="B19">
        <v>2010.099999999999909</v>
      </c>
      <c r="C19">
        <v>2020.29999999999995</v>
      </c>
      <c r="D19">
        <v>2030</v>
      </c>
      <c r="E19">
        <f>IF(B19&lt;&gt;"",((C19-B19)/B19)*100,"")</f>
        <v>0.50743744092334</v>
      </c>
      <c r="F19">
        <f>IF(C19&lt;&gt;"",((D19-C19)/C19)*100,"")</f>
        <v>0.48012671385438</v>
      </c>
      <c r="G19" t="str">
        <f>IF(OR(E19&gt;1,F19&gt;1),"✅ Opportunity",IF(OR(E19&gt;0.5,F19&gt;0.5),"⚠️ Moderate","No Signal"))</f>
        <v>⚠️ Moderate</v>
      </c>
    </row>
    <row r="20" spans="1:7">
      <c r="A20" t="s">
        <v>25</v>
      </c>
      <c r="B20">
        <v>760.14999999999998</v>
      </c>
      <c r="C20">
        <v>764.10000000000002</v>
      </c>
      <c r="D20">
        <v>767.79999999999995</v>
      </c>
      <c r="E20">
        <f>IF(B20&lt;&gt;"",((C20-B20)/B20)*100,"")</f>
        <v>0.51963428270737</v>
      </c>
      <c r="F20">
        <f>IF(C20&lt;&gt;"",((D20-C20)/C20)*100,"")</f>
        <v>0.48422981285171</v>
      </c>
      <c r="G20" t="str">
        <f>IF(OR(E20&gt;1,F20&gt;1),"✅ Opportunity",IF(OR(E20&gt;0.5,F20&gt;0.5),"⚠️ Moderate","No Signal"))</f>
        <v>⚠️ Moderate</v>
      </c>
    </row>
    <row r="21" spans="1:7">
      <c r="A21" t="s">
        <v>26</v>
      </c>
      <c r="B21">
        <v>4675.19999999999982</v>
      </c>
      <c r="C21">
        <v>4665</v>
      </c>
      <c r="D21">
        <v>4663.39999999999964</v>
      </c>
      <c r="E21">
        <f>IF(B21&lt;&gt;"",((C21-B21)/B21)*100,"")</f>
        <v>-0.21817248459959</v>
      </c>
      <c r="F21">
        <f>IF(C21&lt;&gt;"",((D21-C21)/C21)*100,"")</f>
        <v>-0.034297963558422</v>
      </c>
      <c r="G21" t="str">
        <f>IF(OR(E21&gt;1,F21&gt;1),"✅ Opportunity",IF(OR(E21&gt;0.5,F21&gt;0.5),"⚠️ Moderate","No Signal"))</f>
        <v>No Signal</v>
      </c>
    </row>
    <row r="22" spans="1:7">
      <c r="A22" t="s">
        <v>27</v>
      </c>
      <c r="B22">
        <v>685.25</v>
      </c>
      <c r="C22">
        <v>688.54999999999995</v>
      </c>
      <c r="D22">
        <v>691.75</v>
      </c>
      <c r="E22">
        <f>IF(B22&lt;&gt;"",((C22-B22)/B22)*100,"")</f>
        <v>0.48157606712878</v>
      </c>
      <c r="F22">
        <f>IF(C22&lt;&gt;"",((D22-C22)/C22)*100,"")</f>
        <v>0.46474475346744</v>
      </c>
      <c r="G22" t="str">
        <f>IF(OR(E22&gt;1,F22&gt;1),"✅ Opportunity",IF(OR(E22&gt;0.5,F22&gt;0.5),"⚠️ Moderate","No Signal"))</f>
        <v>No Signal</v>
      </c>
    </row>
    <row r="23" spans="1:7">
      <c r="A23" t="s">
        <v>28</v>
      </c>
      <c r="B23">
        <v>2529</v>
      </c>
      <c r="C23">
        <v>2543.40000000000009</v>
      </c>
      <c r="D23">
        <v>2552.80000000000018</v>
      </c>
      <c r="E23">
        <f>IF(B23&lt;&gt;"",((C23-B23)/B23)*100,"")</f>
        <v>0.5693950177936</v>
      </c>
      <c r="F23">
        <f>IF(C23&lt;&gt;"",((D23-C23)/C23)*100,"")</f>
        <v>0.3695840213887</v>
      </c>
      <c r="G23" t="str">
        <f>IF(OR(E23&gt;1,F23&gt;1),"✅ Opportunity",IF(OR(E23&gt;0.5,F23&gt;0.5),"⚠️ Moderate","No Signal"))</f>
        <v>⚠️ Moderate</v>
      </c>
    </row>
    <row r="24" spans="1:7">
      <c r="A24" t="s">
        <v>29</v>
      </c>
      <c r="B24">
        <v>1436.90000000000009</v>
      </c>
      <c r="C24">
        <v>1444.29999999999995</v>
      </c>
      <c r="D24">
        <v>1451.90000000000009</v>
      </c>
      <c r="E24">
        <f>IF(B24&lt;&gt;"",((C24-B24)/B24)*100,"")</f>
        <v>0.5149975642007</v>
      </c>
      <c r="F24">
        <f>IF(C24&lt;&gt;"",((D24-C24)/C24)*100,"")</f>
        <v>0.52620646680054</v>
      </c>
      <c r="G24" t="str">
        <f>IF(OR(E24&gt;1,F24&gt;1),"✅ Opportunity",IF(OR(E24&gt;0.5,F24&gt;0.5),"⚠️ Moderate","No Signal"))</f>
        <v>⚠️ Moderate</v>
      </c>
    </row>
    <row r="25" spans="1:7">
      <c r="A25" t="s">
        <v>30</v>
      </c>
      <c r="B25">
        <v>415.25</v>
      </c>
      <c r="C25">
        <v>417.64999999999998</v>
      </c>
      <c r="D25">
        <v>419.55000000000001</v>
      </c>
      <c r="E25">
        <f>IF(B25&lt;&gt;"",((C25-B25)/B25)*100,"")</f>
        <v>0.57796508127633</v>
      </c>
      <c r="F25">
        <f>IF(C25&lt;&gt;"",((D25-C25)/C25)*100,"")</f>
        <v>0.45492637375794</v>
      </c>
      <c r="G25" t="str">
        <f>IF(OR(E25&gt;1,F25&gt;1),"✅ Opportunity",IF(OR(E25&gt;0.5,F25&gt;0.5),"⚠️ Moderate","No Signal"))</f>
        <v>⚠️ Moderate</v>
      </c>
    </row>
    <row r="26" spans="1:7">
      <c r="A26" t="s">
        <v>31</v>
      </c>
      <c r="B26">
        <v>812.75</v>
      </c>
      <c r="C26">
        <v>816.95000000000005</v>
      </c>
      <c r="D26">
        <v>821.35000000000002</v>
      </c>
      <c r="E26">
        <f>IF(B26&lt;&gt;"",((C26-B26)/B26)*100,"")</f>
        <v>0.51676407259305</v>
      </c>
      <c r="F26">
        <f>IF(C26&lt;&gt;"",((D26-C26)/C26)*100,"")</f>
        <v>0.53858865291633</v>
      </c>
      <c r="G26" t="str">
        <f>IF(OR(E26&gt;1,F26&gt;1),"✅ Opportunity",IF(OR(E26&gt;0.5,F26&gt;0.5),"⚠️ Moderate","No Signal"))</f>
        <v>⚠️ Moderate</v>
      </c>
    </row>
    <row r="27" spans="1:7">
      <c r="A27" t="s">
        <v>32</v>
      </c>
      <c r="B27">
        <v>1439.70000000000005</v>
      </c>
      <c r="C27">
        <v>1446.90000000000009</v>
      </c>
      <c r="D27">
        <v>1442</v>
      </c>
      <c r="E27">
        <f>IF(B27&lt;&gt;"",((C27-B27)/B27)*100,"")</f>
        <v>0.50010418837258</v>
      </c>
      <c r="F27">
        <f>IF(C27&lt;&gt;"",((D27-C27)/C27)*100,"")</f>
        <v>-0.33865505563619</v>
      </c>
      <c r="G27" t="str">
        <f>IF(OR(E27&gt;1,F27&gt;1),"✅ Opportunity",IF(OR(E27&gt;0.5,F27&gt;0.5),"⚠️ Moderate","No Signal"))</f>
        <v>⚠️ Moderate</v>
      </c>
    </row>
    <row r="28" spans="1:7">
      <c r="A28" t="s">
        <v>33</v>
      </c>
      <c r="B28">
        <v>1065.5</v>
      </c>
      <c r="C28">
        <v>1071</v>
      </c>
      <c r="D28">
        <v>1075.5</v>
      </c>
      <c r="E28">
        <f>IF(B28&lt;&gt;"",((C28-B28)/B28)*100,"")</f>
        <v>0.5161895823557</v>
      </c>
      <c r="F28">
        <f>IF(C28&lt;&gt;"",((D28-C28)/C28)*100,"")</f>
        <v>0.42016806722689</v>
      </c>
      <c r="G28" t="str">
        <f>IF(OR(E28&gt;1,F28&gt;1),"✅ Opportunity",IF(OR(E28&gt;0.5,F28&gt;0.5),"⚠️ Moderate","No Signal"))</f>
        <v>⚠️ Moderate</v>
      </c>
    </row>
    <row r="29" spans="1:7">
      <c r="A29" t="s">
        <v>34</v>
      </c>
      <c r="B29">
        <v>2002.20000000000005</v>
      </c>
      <c r="C29">
        <v>2013.20000000000005</v>
      </c>
      <c r="D29">
        <v>2022.5</v>
      </c>
      <c r="E29">
        <f>IF(B29&lt;&gt;"",((C29-B29)/B29)*100,"")</f>
        <v>0.54939566476875</v>
      </c>
      <c r="F29">
        <f>IF(C29&lt;&gt;"",((D29-C29)/C29)*100,"")</f>
        <v>0.4619511225909</v>
      </c>
      <c r="G29" t="str">
        <f>IF(OR(E29&gt;1,F29&gt;1),"✅ Opportunity",IF(OR(E29&gt;0.5,F29&gt;0.5),"⚠️ Moderate","No Signal"))</f>
        <v>⚠️ Moderate</v>
      </c>
    </row>
    <row r="30" spans="1:7">
      <c r="A30" t="s">
        <v>35</v>
      </c>
      <c r="B30">
        <v>3654.19999999999982</v>
      </c>
      <c r="C30">
        <v>3674.59999999999991</v>
      </c>
      <c r="D30">
        <v>3682</v>
      </c>
      <c r="E30">
        <f>IF(B30&lt;&gt;"",((C30-B30)/B30)*100,"")</f>
        <v>0.55826172623283</v>
      </c>
      <c r="F30">
        <f>IF(C30&lt;&gt;"",((D30-C30)/C30)*100,"")</f>
        <v>0.20138246339738</v>
      </c>
      <c r="G30" t="str">
        <f>IF(OR(E30&gt;1,F30&gt;1),"✅ Opportunity",IF(OR(E30&gt;0.5,F30&gt;0.5),"⚠️ Moderate","No Signal"))</f>
        <v>⚠️ Moderate</v>
      </c>
    </row>
    <row r="31" spans="1:7">
      <c r="A31" t="s">
        <v>36</v>
      </c>
      <c r="B31">
        <v>3221.80000000000018</v>
      </c>
      <c r="C31">
        <v>3240</v>
      </c>
      <c r="D31">
        <v>3252.80000000000018</v>
      </c>
      <c r="E31">
        <f>IF(B31&lt;&gt;"",((C31-B31)/B31)*100,"")</f>
        <v>0.56490160779688</v>
      </c>
      <c r="F31">
        <f>IF(C31&lt;&gt;"",((D31-C31)/C31)*100,"")</f>
        <v>0.39506172839507</v>
      </c>
      <c r="G31" t="str">
        <f>IF(OR(E31&gt;1,F31&gt;1),"✅ Opportunity",IF(OR(E31&gt;0.5,F31&gt;0.5),"⚠️ Moderate","No Signal"))</f>
        <v>⚠️ Moderate</v>
      </c>
    </row>
    <row r="32" spans="1:7">
      <c r="A32" t="s">
        <v>37</v>
      </c>
      <c r="B32">
        <v>12672</v>
      </c>
      <c r="C32">
        <v>12735</v>
      </c>
      <c r="D32">
        <v>12786</v>
      </c>
      <c r="E32">
        <f>IF(B32&lt;&gt;"",((C32-B32)/B32)*100,"")</f>
        <v>0.49715909090909</v>
      </c>
      <c r="F32">
        <f>IF(C32&lt;&gt;"",((D32-C32)/C32)*100,"")</f>
        <v>0.40047114252061</v>
      </c>
      <c r="G32" t="str">
        <f>IF(OR(E32&gt;1,F32&gt;1),"✅ Opportunity",IF(OR(E32&gt;0.5,F32&gt;0.5),"⚠️ Moderate","No Signal"))</f>
        <v>No Signal</v>
      </c>
    </row>
    <row r="33" spans="1:7">
      <c r="A33" t="s">
        <v>38</v>
      </c>
      <c r="B33">
        <v>330.89999999999998</v>
      </c>
      <c r="C33">
        <v>329.5</v>
      </c>
      <c r="D33">
        <v>331</v>
      </c>
      <c r="E33">
        <f>IF(B33&lt;&gt;"",((C33-B33)/B33)*100,"")</f>
        <v>-0.42308854638863</v>
      </c>
      <c r="F33">
        <f>IF(C33&lt;&gt;"",((D33-C33)/C33)*100,"")</f>
        <v>0.45523520485584</v>
      </c>
      <c r="G33" t="str">
        <f>IF(OR(E33&gt;1,F33&gt;1),"✅ Opportunity",IF(OR(E33&gt;0.5,F33&gt;0.5),"⚠️ Moderate","No Signal"))</f>
        <v>No Signal</v>
      </c>
    </row>
    <row r="34" spans="1:7">
      <c r="A34" t="s">
        <v>39</v>
      </c>
      <c r="B34">
        <v>2245.30000000000018</v>
      </c>
      <c r="C34">
        <v>2259</v>
      </c>
      <c r="D34">
        <v>2250.59999999999991</v>
      </c>
      <c r="E34">
        <f>IF(B34&lt;&gt;"",((C34-B34)/B34)*100,"")</f>
        <v>0.61016345254531</v>
      </c>
      <c r="F34">
        <f>IF(C34&lt;&gt;"",((D34-C34)/C34)*100,"")</f>
        <v>-0.3718459495352</v>
      </c>
      <c r="G34" t="str">
        <f>IF(OR(E34&gt;1,F34&gt;1),"✅ Opportunity",IF(OR(E34&gt;0.5,F34&gt;0.5),"⚠️ Moderate","No Signal"))</f>
        <v>⚠️ Moderate</v>
      </c>
    </row>
    <row r="35" spans="1:7">
      <c r="A35" t="s">
        <v>40</v>
      </c>
      <c r="B35">
        <v>234.46000000000001</v>
      </c>
      <c r="C35">
        <v>234.44</v>
      </c>
      <c r="D35">
        <v>235.59999999999999</v>
      </c>
      <c r="E35">
        <f>IF(B35&lt;&gt;"",((C35-B35)/B35)*100,"")</f>
        <v>-0.0085302396997399</v>
      </c>
      <c r="F35">
        <f>IF(C35&lt;&gt;"",((D35-C35)/C35)*100,"")</f>
        <v>0.49479610987886</v>
      </c>
      <c r="G35" t="str">
        <f>IF(OR(E35&gt;1,F35&gt;1),"✅ Opportunity",IF(OR(E35&gt;0.5,F35&gt;0.5),"⚠️ Moderate","No Signal"))</f>
        <v>No Signal</v>
      </c>
    </row>
    <row r="36" spans="1:7">
      <c r="A36" t="s">
        <v>41</v>
      </c>
      <c r="B36">
        <v>285.55000000000001</v>
      </c>
      <c r="C36">
        <v>287.050000000000011</v>
      </c>
      <c r="D36">
        <v>288.85000000000002</v>
      </c>
      <c r="E36">
        <f>IF(B36&lt;&gt;"",((C36-B36)/B36)*100,"")</f>
        <v>0.52530204867799</v>
      </c>
      <c r="F36">
        <f>IF(C36&lt;&gt;"",((D36-C36)/C36)*100,"")</f>
        <v>0.62706845497301</v>
      </c>
      <c r="G36" t="str">
        <f>IF(OR(E36&gt;1,F36&gt;1),"✅ Opportunity",IF(OR(E36&gt;0.5,F36&gt;0.5),"⚠️ Moderate","No Signal"))</f>
        <v>⚠️ Moderate</v>
      </c>
    </row>
    <row r="37" spans="1:7">
      <c r="A37" t="s">
        <v>42</v>
      </c>
      <c r="B37">
        <v>1389.79999999999995</v>
      </c>
      <c r="C37">
        <v>1397.70000000000005</v>
      </c>
      <c r="D37">
        <v>1404.29999999999995</v>
      </c>
      <c r="E37">
        <f>IF(B37&lt;&gt;"",((C37-B37)/B37)*100,"")</f>
        <v>0.56842711181466</v>
      </c>
      <c r="F37">
        <f>IF(C37&lt;&gt;"",((D37-C37)/C37)*100,"")</f>
        <v>0.47220433569435</v>
      </c>
      <c r="G37" t="str">
        <f>IF(OR(E37&gt;1,F37&gt;1),"✅ Opportunity",IF(OR(E37&gt;0.5,F37&gt;0.5),"⚠️ Moderate","No Signal"))</f>
        <v>⚠️ Moderate</v>
      </c>
    </row>
    <row r="38" spans="1:7">
      <c r="A38" t="s">
        <v>43</v>
      </c>
      <c r="B38">
        <v>1865.29999999999995</v>
      </c>
      <c r="C38">
        <v>1875.099999999999909</v>
      </c>
      <c r="D38">
        <v>1883.40000000000009</v>
      </c>
      <c r="E38">
        <f>IF(B38&lt;&gt;"",((C38-B38)/B38)*100,"")</f>
        <v>0.5253846566236</v>
      </c>
      <c r="F38">
        <f>IF(C38&lt;&gt;"",((D38-C38)/C38)*100,"")</f>
        <v>0.44264305903686</v>
      </c>
      <c r="G38" t="str">
        <f>IF(OR(E38&gt;1,F38&gt;1),"✅ Opportunity",IF(OR(E38&gt;0.5,F38&gt;0.5),"⚠️ Moderate","No Signal"))</f>
        <v>⚠️ Moderate</v>
      </c>
    </row>
    <row r="39" spans="1:7">
      <c r="A39" t="s">
        <v>44</v>
      </c>
      <c r="B39">
        <v>809.20000000000005</v>
      </c>
      <c r="C39">
        <v>814</v>
      </c>
      <c r="D39">
        <v>817.5</v>
      </c>
      <c r="E39">
        <f>IF(B39&lt;&gt;"",((C39-B39)/B39)*100,"")</f>
        <v>0.59317844784972</v>
      </c>
      <c r="F39">
        <f>IF(C39&lt;&gt;"",((D39-C39)/C39)*100,"")</f>
        <v>0.42997542997543</v>
      </c>
      <c r="G39" t="str">
        <f>IF(OR(E39&gt;1,F39&gt;1),"✅ Opportunity",IF(OR(E39&gt;0.5,F39&gt;0.5),"⚠️ Moderate","No Signal"))</f>
        <v>⚠️ Moderate</v>
      </c>
    </row>
    <row r="40" spans="1:7">
      <c r="A40" t="s">
        <v>45</v>
      </c>
      <c r="B40">
        <v>1605.70000000000005</v>
      </c>
      <c r="C40">
        <v>1613.70000000000005</v>
      </c>
      <c r="D40">
        <v>1616.70000000000005</v>
      </c>
      <c r="E40">
        <f>IF(B40&lt;&gt;"",((C40-B40)/B40)*100,"")</f>
        <v>0.49822507317681</v>
      </c>
      <c r="F40">
        <f>IF(C40&lt;&gt;"",((D40-C40)/C40)*100,"")</f>
        <v>0.18590816136828</v>
      </c>
      <c r="G40" t="str">
        <f>IF(OR(E40&gt;1,F40&gt;1),"✅ Opportunity",IF(OR(E40&gt;0.5,F40&gt;0.5),"⚠️ Moderate","No Signal"))</f>
        <v>No Signal</v>
      </c>
    </row>
    <row r="41" spans="1:7">
      <c r="A41" t="s">
        <v>46</v>
      </c>
      <c r="B41">
        <v>3060.19999999999982</v>
      </c>
      <c r="C41">
        <v>3075.5</v>
      </c>
      <c r="D41">
        <v>3082.80000000000018</v>
      </c>
      <c r="E41">
        <f>IF(B41&lt;&gt;"",((C41-B41)/B41)*100,"")</f>
        <v>0.49996732239723</v>
      </c>
      <c r="F41">
        <f>IF(C41&lt;&gt;"",((D41-C41)/C41)*100,"")</f>
        <v>0.23735977889775</v>
      </c>
      <c r="G41" t="str">
        <f>IF(OR(E41&gt;1,F41&gt;1),"✅ Opportunity",IF(OR(E41&gt;0.5,F41&gt;0.5),"⚠️ Moderate","No Signal"))</f>
        <v>No Signal</v>
      </c>
    </row>
    <row r="42" spans="1:7">
      <c r="A42" t="s">
        <v>47</v>
      </c>
      <c r="B42">
        <v>1058.29999999999995</v>
      </c>
      <c r="C42">
        <v>1059.70000000000005</v>
      </c>
      <c r="D42">
        <v>1063.79999999999995</v>
      </c>
      <c r="E42">
        <f>IF(B42&lt;&gt;"",((C42-B42)/B42)*100,"")</f>
        <v>0.1322876311065</v>
      </c>
      <c r="F42">
        <f>IF(C42&lt;&gt;"",((D42-C42)/C42)*100,"")</f>
        <v>0.38690195338302</v>
      </c>
      <c r="G42" t="str">
        <f>IF(OR(E42&gt;1,F42&gt;1),"✅ Opportunity",IF(OR(E42&gt;0.5,F42&gt;0.5),"⚠️ Moderate","No Signal"))</f>
        <v>No Signal</v>
      </c>
    </row>
    <row r="43" spans="1:7">
      <c r="A43" t="s">
        <v>48</v>
      </c>
      <c r="B43">
        <v>651.89999999999998</v>
      </c>
      <c r="C43">
        <v>655.29999999999995</v>
      </c>
      <c r="D43">
        <v>657</v>
      </c>
      <c r="E43">
        <f>IF(B43&lt;&gt;"",((C43-B43)/B43)*100,"")</f>
        <v>0.52155238533517</v>
      </c>
      <c r="F43">
        <f>IF(C43&lt;&gt;"",((D43-C43)/C43)*100,"")</f>
        <v>0.25942316496262</v>
      </c>
      <c r="G43" t="str">
        <f>IF(OR(E43&gt;1,F43&gt;1),"✅ Opportunity",IF(OR(E43&gt;0.5,F43&gt;0.5),"⚠️ Moderate","No Signal"))</f>
        <v>⚠️ Moderate</v>
      </c>
    </row>
    <row r="44" spans="1:7">
      <c r="A44" t="s">
        <v>49</v>
      </c>
      <c r="B44">
        <v>160.19</v>
      </c>
      <c r="C44">
        <v>161.099999999999994</v>
      </c>
      <c r="D44">
        <v>161.91</v>
      </c>
      <c r="E44">
        <f>IF(B44&lt;&gt;"",((C44-B44)/B44)*100,"")</f>
        <v>0.56807541045009</v>
      </c>
      <c r="F44">
        <f>IF(C44&lt;&gt;"",((D44-C44)/C44)*100,"")</f>
        <v>0.50279329608939</v>
      </c>
      <c r="G44" t="str">
        <f>IF(OR(E44&gt;1,F44&gt;1),"✅ Opportunity",IF(OR(E44&gt;0.5,F44&gt;0.5),"⚠️ Moderate","No Signal"))</f>
        <v>⚠️ Moderate</v>
      </c>
    </row>
    <row r="45" spans="1:7">
      <c r="A45" t="s">
        <v>50</v>
      </c>
      <c r="B45">
        <v>1486.20000000000005</v>
      </c>
      <c r="C45">
        <v>1493.70000000000005</v>
      </c>
      <c r="D45">
        <v>1496.79999999999995</v>
      </c>
      <c r="E45">
        <f>IF(B45&lt;&gt;"",((C45-B45)/B45)*100,"")</f>
        <v>0.50464271295922</v>
      </c>
      <c r="F45">
        <f>IF(C45&lt;&gt;"",((D45-C45)/C45)*100,"")</f>
        <v>0.20753832764276</v>
      </c>
      <c r="G45" t="str">
        <f>IF(OR(E45&gt;1,F45&gt;1),"✅ Opportunity",IF(OR(E45&gt;0.5,F45&gt;0.5),"⚠️ Moderate","No Signal"))</f>
        <v>⚠️ Moderate</v>
      </c>
    </row>
    <row r="46" spans="1:7">
      <c r="A46" t="s">
        <v>51</v>
      </c>
      <c r="B46">
        <v>3435</v>
      </c>
      <c r="C46">
        <v>3453.099999999999909</v>
      </c>
      <c r="D46">
        <v>3469.30000000000018</v>
      </c>
      <c r="E46">
        <f>IF(B46&lt;&gt;"",((C46-B46)/B46)*100,"")</f>
        <v>0.52692867540029</v>
      </c>
      <c r="F46">
        <f>IF(C46&lt;&gt;"",((D46-C46)/C46)*100,"")</f>
        <v>0.46914366800846</v>
      </c>
      <c r="G46" t="str">
        <f>IF(OR(E46&gt;1,F46&gt;1),"✅ Opportunity",IF(OR(E46&gt;0.5,F46&gt;0.5),"⚠️ Moderate","No Signal"))</f>
        <v>⚠️ Moderate</v>
      </c>
    </row>
    <row r="47" spans="1:7">
      <c r="A47" t="s">
        <v>52</v>
      </c>
      <c r="B47">
        <v>707.5</v>
      </c>
      <c r="C47">
        <v>707.89999999999998</v>
      </c>
      <c r="D47">
        <v>705.5</v>
      </c>
      <c r="E47">
        <f>IF(B47&lt;&gt;"",((C47-B47)/B47)*100,"")</f>
        <v>0.056537102473495</v>
      </c>
      <c r="F47">
        <f>IF(C47&lt;&gt;"",((D47-C47)/C47)*100,"")</f>
        <v>-0.33903093657296</v>
      </c>
      <c r="G47" t="str">
        <f>IF(OR(E47&gt;1,F47&gt;1),"✅ Opportunity",IF(OR(E47&gt;0.5,F47&gt;0.5),"⚠️ Moderate","No Signal"))</f>
        <v>No Signal</v>
      </c>
    </row>
    <row r="48" spans="1:7">
      <c r="A48" t="s">
        <v>53</v>
      </c>
      <c r="B48">
        <v>12320</v>
      </c>
      <c r="C48">
        <v>12373</v>
      </c>
      <c r="D48">
        <v>12399</v>
      </c>
      <c r="E48">
        <f>IF(B48&lt;&gt;"",((C48-B48)/B48)*100,"")</f>
        <v>0.43019480519481</v>
      </c>
      <c r="F48">
        <f>IF(C48&lt;&gt;"",((D48-C48)/C48)*100,"")</f>
        <v>0.21013497130849</v>
      </c>
      <c r="G48" t="str">
        <f>IF(OR(E48&gt;1,F48&gt;1),"✅ Opportunity",IF(OR(E48&gt;0.5,F48&gt;0.5),"⚠️ Moderate","No Signal"))</f>
        <v>No Signal</v>
      </c>
    </row>
    <row r="49" spans="1:7">
      <c r="A49" t="s">
        <v>54</v>
      </c>
      <c r="B49">
        <v>241.75</v>
      </c>
      <c r="C49">
        <v>241.44999999999999</v>
      </c>
      <c r="D49">
        <v>240.99000000000001</v>
      </c>
      <c r="E49">
        <f>IF(B49&lt;&gt;"",((C49-B49)/B49)*100,"")</f>
        <v>-0.12409513960704</v>
      </c>
      <c r="F49">
        <f>IF(C49&lt;&gt;"",((D49-C49)/C49)*100,"")</f>
        <v>-0.19051563470697</v>
      </c>
      <c r="G49" t="str">
        <f>IF(OR(E49&gt;1,F49&gt;1),"✅ Opportunity",IF(OR(E49&gt;0.5,F49&gt;0.5),"⚠️ Moderate","No Signal"))</f>
        <v>No Signal</v>
      </c>
    </row>
    <row r="50" spans="1:7">
      <c r="A50" t="s">
        <v>55</v>
      </c>
      <c r="B50">
        <v>5058</v>
      </c>
      <c r="C50">
        <v>5051</v>
      </c>
      <c r="D50">
        <v>5021</v>
      </c>
      <c r="E50">
        <f>IF(B50&lt;&gt;"",((C50-B50)/B50)*100,"")</f>
        <v>-0.13839462238039</v>
      </c>
      <c r="F50">
        <f>IF(C50&lt;&gt;"",((D50-C50)/C50)*100,"")</f>
        <v>-0.59394179370422</v>
      </c>
      <c r="G50" t="str">
        <f>IF(OR(E50&gt;1,F50&gt;1),"✅ Opportunity",IF(OR(E50&gt;0.5,F50&gt;0.5),"⚠️ Moderate","No Signal"))</f>
        <v>No Signal</v>
      </c>
    </row>
    <row r="51" spans="1:7">
      <c r="A51" t="s">
        <v>56</v>
      </c>
      <c r="B51">
        <v>404.35000000000002</v>
      </c>
      <c r="C51">
        <v>406.80000000000001</v>
      </c>
      <c r="D51">
        <v>404.94999999999999</v>
      </c>
      <c r="E51">
        <f>IF(B51&lt;&gt;"",((C51-B51)/B51)*100,"")</f>
        <v>0.6059107209101</v>
      </c>
      <c r="F51">
        <f>IF(C51&lt;&gt;"",((D51-C51)/C51)*100,"")</f>
        <v>-0.45476892822026</v>
      </c>
      <c r="G51" t="str">
        <f>IF(OR(E51&gt;1,F51&gt;1),"✅ Opportunity",IF(OR(E51&gt;0.5,F51&gt;0.5),"⚠️ Moderate","No Signal"))</f>
        <v>⚠️ Moderate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Derivatives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2025-08-07T09:52:56+00:00</dcterms:created>
  <dcterms:modified xsi:type="dcterms:W3CDTF">2025-08-07T09:52:56+00:00</dcterms:modified>
  <dc:title>Untitled Spreadsheet</dc:title>
  <dc:description/>
  <dc:subject/>
  <cp:keywords/>
  <cp:category/>
</cp:coreProperties>
</file>