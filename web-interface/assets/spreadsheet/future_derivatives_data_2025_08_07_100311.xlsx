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ture Derivatives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<sst xmlns="http://schemas.openxmlformats.org/spreadsheetml/2006/main" uniqueCount="10">
  <si>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Stock</t>
  </si>
  <si>
    <t>Aug-2025</t>
  </si>
  <si>
    <t>Sep-2025</t>
  </si>
  <si>
    <t>Oct-2025</t>
  </si>
  <si>
    <t>Sep-Aug % Spread</t>
  </si>
  <si>
    <t>Oct-Sep % Spread</t>
  </si>
  <si>
    <t>Signal</t>
  </si>
  <si>
    <t>WIPRO</t>
  </si>
  <si>
    <t>LTIM</t>
  </si>
  <si>
    <t>HINDPETRO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</si>
</sst>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22.28" bestFit="true" customWidth="true" style="0"/>
    <col min="3" max="3" width="22.28" bestFit="true" customWidth="true" style="0"/>
    <col min="4" max="4" width="22.28" bestFit="true" customWidth="true" style="0"/>
    <col min="5" max="5" width="21.138" bestFit="true" customWidth="true" style="0"/>
    <col min="6" max="6" width="21.138" bestFit="true" customWidth="true" style="0"/>
    <col min="7" max="7" width="13.997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242.12</v>
      </c>
      <c r="C2">
        <v>241.86000000000001</v>
      </c>
      <c r="D2">
        <v>241.5</v>
      </c>
      <c r="E2">
        <f>IF(B2&lt;&gt;"",((C2-B2)/B2)*100,"")</f>
        <v>-0.10738476788369</v>
      </c>
      <c r="F2">
        <f>IF(C2&lt;&gt;"",((D2-C2)/C2)*100,"")</f>
        <v>-0.14884644008931</v>
      </c>
      <c r="G2" t="str">
        <f>IF(OR(E2&gt;1,F2&gt;1),"✅ Opportunity",IF(OR(E2&gt;0.5,F2&gt;0.5),"⚠️ Moderate","No Signal"))</f>
        <v>No Signal</v>
      </c>
    </row>
    <row r="3" spans="1:7">
      <c r="A3" t="s">
        <v>8</v>
      </c>
      <c r="B3">
        <v>5061</v>
      </c>
      <c r="C3">
        <v>5053</v>
      </c>
      <c r="D3">
        <v>5032</v>
      </c>
      <c r="E3">
        <f>IF(B3&lt;&gt;"",((C3-B3)/B3)*100,"")</f>
        <v>-0.15807152736613</v>
      </c>
      <c r="F3">
        <f>IF(C3&lt;&gt;"",((D3-C3)/C3)*100,"")</f>
        <v>-0.41559469622007</v>
      </c>
      <c r="G3" t="str">
        <f>IF(OR(E3&gt;1,F3&gt;1),"✅ Opportunity",IF(OR(E3&gt;0.5,F3&gt;0.5),"⚠️ Moderate","No Signal"))</f>
        <v>No Signal</v>
      </c>
    </row>
    <row r="4" spans="1:7">
      <c r="A4" t="s">
        <v>9</v>
      </c>
      <c r="B4">
        <v>404.10000000000002</v>
      </c>
      <c r="C4">
        <v>406.80000000000001</v>
      </c>
      <c r="D4">
        <v>407.44999999999999</v>
      </c>
      <c r="E4">
        <f>IF(B4&lt;&gt;"",((C4-B4)/B4)*100,"")</f>
        <v>0.66815144766147</v>
      </c>
      <c r="F4">
        <f>IF(C4&lt;&gt;"",((D4-C4)/C4)*100,"")</f>
        <v>0.15978367748279</v>
      </c>
      <c r="G4" t="str">
        <f>IF(OR(E4&gt;1,F4&gt;1),"✅ Opportunity",IF(OR(E4&gt;0.5,F4&gt;0.5),"⚠️ Moderate","No Signal"))</f>
        <v>⚠️ Moderate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 Derivatives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2025-08-07T10:03:11+00:00</dcterms:created>
  <dcterms:modified xsi:type="dcterms:W3CDTF">2025-08-07T10:03:11+00:00</dcterms:modified>
  <dc:title>Untitled Spreadsheet</dc:title>
  <dc:description/>
  <dc:subject/>
  <cp:keywords/>
  <cp:category/>
</cp:coreProperties>
</file>