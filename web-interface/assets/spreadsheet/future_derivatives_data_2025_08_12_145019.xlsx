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ture Derivativ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<sst xmlns="http://schemas.openxmlformats.org/spreadsheetml/2006/main" uniqueCount="11">
  <si>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</t>
  </si>
  <si>
    <t>Equity</t>
  </si>
  <si>
    <t>Aug-2025</t>
  </si>
  <si>
    <t>Sep-2025</t>
  </si>
  <si>
    <t>Diff ( Aug - Equity)</t>
  </si>
  <si>
    <t>Diff ( Sep - Equity)</t>
  </si>
  <si>
    <t>%-Aug</t>
  </si>
  <si>
    <t>%-Sep</t>
  </si>
  <si>
    <t>DIFF ( %Sep - %Aug)</t>
  </si>
  <si>
    <t>ADANIENT</t>
  </si>
  <si>
    <t>ADANIPORTS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</si>
</sst>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3.423" bestFit="true" customWidth="true" style="0"/>
    <col min="3" max="3" width="24.708" bestFit="true" customWidth="true" style="0"/>
    <col min="4" max="4" width="10.569" bestFit="true" customWidth="true" style="0"/>
    <col min="5" max="5" width="24.708" bestFit="true" customWidth="true" style="0"/>
    <col min="6" max="6" width="24.708" bestFit="true" customWidth="true" style="0"/>
    <col min="7" max="7" width="21.138" bestFit="true" customWidth="true" style="0"/>
    <col min="8" max="8" width="19.995" bestFit="true" customWidth="true" style="0"/>
    <col min="9" max="9" width="23.423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2294.5</v>
      </c>
      <c r="C2">
        <v>2295.099999999999909</v>
      </c>
      <c r="D2">
        <v>2309</v>
      </c>
      <c r="E2">
        <f>IF(AND(C2&lt;&gt;"",B2&lt;&gt;""),C2-B2,"")</f>
        <v>0.59999999999991</v>
      </c>
      <c r="F2">
        <f>IF(AND(D2&lt;&gt;"",B2&lt;&gt;""),D2-B2,"")</f>
        <v>14.5</v>
      </c>
      <c r="G2">
        <f>IF(AND(E2&lt;&gt;"",C2&lt;&gt;""),E2*100/C2,"")</f>
        <v>0.026142651736304</v>
      </c>
      <c r="H2">
        <f>IF(AND(F2&lt;&gt;"",D2&lt;&gt;""),F2*100/D2,"")</f>
        <v>0.62797747942832</v>
      </c>
      <c r="I2">
        <f>IF(AND(H2&lt;&gt;"",G2&lt;&gt;""),H2-G2,"")</f>
        <v>0.60183482769202</v>
      </c>
    </row>
    <row r="3" spans="1:9">
      <c r="A3" t="s">
        <v>10</v>
      </c>
      <c r="B3">
        <v>1328.20000000000005</v>
      </c>
      <c r="C3">
        <v>1335</v>
      </c>
      <c r="D3">
        <v>1342</v>
      </c>
      <c r="E3">
        <f>IF(AND(C3&lt;&gt;"",B3&lt;&gt;""),C3-B3,"")</f>
        <v>6.79999999999995</v>
      </c>
      <c r="F3">
        <f>IF(AND(D3&lt;&gt;"",B3&lt;&gt;""),D3-B3,"")</f>
        <v>13.79999999999995</v>
      </c>
      <c r="G3">
        <f>IF(AND(E3&lt;&gt;"",C3&lt;&gt;""),E3*100/C3,"")</f>
        <v>0.50936329588015</v>
      </c>
      <c r="H3">
        <f>IF(AND(F3&lt;&gt;"",D3&lt;&gt;""),F3*100/D3,"")</f>
        <v>1.02831594634873</v>
      </c>
      <c r="I3">
        <f>IF(AND(H3&lt;&gt;"",G3&lt;&gt;""),H3-G3,"")</f>
        <v>0.51895265046858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Derivatives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2025-08-12T14:50:18+00:00</dcterms:created>
  <dcterms:modified xsi:type="dcterms:W3CDTF">2025-08-12T14:50:18+00:00</dcterms:modified>
  <dc:title>Untitled Spreadsheet</dc:title>
  <dc:description/>
  <dc:subject/>
  <cp:keywords/>
  <cp:category/>
</cp:coreProperties>
</file>